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OpenRC4CL\"/>
    </mc:Choice>
  </mc:AlternateContent>
  <xr:revisionPtr revIDLastSave="0" documentId="13_ncr:1_{E645B5E4-5D4E-4287-B7D8-83CCC5C66751}" xr6:coauthVersionLast="47" xr6:coauthVersionMax="47" xr10:uidLastSave="{00000000-0000-0000-0000-000000000000}"/>
  <bookViews>
    <workbookView xWindow="5760" yWindow="7548" windowWidth="21276" windowHeight="16812" xr2:uid="{DDCA7908-BB2B-4098-94D6-F23A4C10B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 s="1"/>
  <c r="D8" i="1"/>
  <c r="C8" i="1"/>
  <c r="C31" i="1"/>
  <c r="C30" i="1"/>
  <c r="C29" i="1"/>
  <c r="C28" i="1"/>
  <c r="B10" i="1"/>
  <c r="B11" i="1" s="1"/>
  <c r="H14" i="1"/>
  <c r="H16" i="1" s="1"/>
  <c r="C14" i="1"/>
  <c r="C16" i="1" s="1"/>
  <c r="D10" i="1"/>
  <c r="D11" i="1" s="1"/>
  <c r="E10" i="1"/>
  <c r="E11" i="1" s="1"/>
  <c r="F10" i="1"/>
  <c r="F11" i="1" s="1"/>
  <c r="G10" i="1"/>
  <c r="G11" i="1" s="1"/>
  <c r="H10" i="1"/>
  <c r="H11" i="1" s="1"/>
  <c r="I10" i="1"/>
  <c r="I11" i="1" s="1"/>
  <c r="C10" i="1"/>
  <c r="C11" i="1" s="1"/>
  <c r="D12" i="1"/>
  <c r="D15" i="1" s="1"/>
  <c r="E12" i="1"/>
  <c r="E15" i="1" s="1"/>
  <c r="F12" i="1"/>
  <c r="F15" i="1" s="1"/>
  <c r="G12" i="1"/>
  <c r="G15" i="1" s="1"/>
  <c r="H12" i="1"/>
  <c r="H15" i="1" s="1"/>
  <c r="I12" i="1"/>
  <c r="I15" i="1" s="1"/>
  <c r="D14" i="1"/>
  <c r="D16" i="1" s="1"/>
  <c r="E14" i="1"/>
  <c r="E16" i="1" s="1"/>
  <c r="F14" i="1"/>
  <c r="F16" i="1" s="1"/>
  <c r="G14" i="1"/>
  <c r="G16" i="1" s="1"/>
  <c r="I14" i="1"/>
  <c r="I16" i="1" s="1"/>
  <c r="C12" i="1"/>
  <c r="C15" i="1" s="1"/>
  <c r="B14" i="1"/>
  <c r="B16" i="1" s="1"/>
  <c r="B15" i="1" l="1"/>
  <c r="E13" i="1"/>
  <c r="D13" i="1"/>
  <c r="C13" i="1"/>
  <c r="I13" i="1"/>
  <c r="H13" i="1"/>
  <c r="G13" i="1"/>
  <c r="F13" i="1"/>
</calcChain>
</file>

<file path=xl/sharedStrings.xml><?xml version="1.0" encoding="utf-8"?>
<sst xmlns="http://schemas.openxmlformats.org/spreadsheetml/2006/main" count="25" uniqueCount="25">
  <si>
    <t># cells</t>
  </si>
  <si>
    <t>min V</t>
  </si>
  <si>
    <t>max V</t>
  </si>
  <si>
    <t>drop</t>
  </si>
  <si>
    <t>R div</t>
  </si>
  <si>
    <t>Vmax</t>
  </si>
  <si>
    <t>Vmin</t>
  </si>
  <si>
    <t>high V</t>
  </si>
  <si>
    <t>Vhigh</t>
  </si>
  <si>
    <t>Guessing # cells only reliable with full cells using lookup table</t>
  </si>
  <si>
    <t>Vmax1</t>
  </si>
  <si>
    <t>Vmin1</t>
  </si>
  <si>
    <t>Vone_cell = (V * Rdiv + drop) / #cells</t>
  </si>
  <si>
    <t>calibrate</t>
  </si>
  <si>
    <t>OpenRC4CL lipo voltage measurement</t>
  </si>
  <si>
    <t>Ideas:</t>
  </si>
  <si>
    <t>Special flag for LiHV in software (default off) or dip switch</t>
  </si>
  <si>
    <t>Start with SW flags</t>
  </si>
  <si>
    <t>1N5819</t>
  </si>
  <si>
    <t xml:space="preserve">1N5819 </t>
  </si>
  <si>
    <t xml:space="preserve">calibrate with  R measurements </t>
  </si>
  <si>
    <t>drop V</t>
  </si>
  <si>
    <t>max V%</t>
  </si>
  <si>
    <t>high V%</t>
  </si>
  <si>
    <t>% V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</si>
</sst>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2468-41E8-40D2-AFF9-F12315AA3936}">
  <dimension ref="A1:I32"/>
  <sheetViews>
    <sheetView tabSelected="1" workbookViewId="0">
      <selection activeCell="L15" sqref="L15"/>
    </sheetView>
  </sheetViews>
  <sheetFormatPr defaultRowHeight="14.4" x14ac:dyDescent="0.3"/>
  <sheetData>
    <row r="1" spans="1:9" x14ac:dyDescent="0.3">
      <c r="A1" t="s">
        <v>14</v>
      </c>
    </row>
    <row r="3" spans="1:9" x14ac:dyDescent="0.3">
      <c r="A3" t="s">
        <v>7</v>
      </c>
      <c r="B3">
        <v>4.3499999999999996</v>
      </c>
    </row>
    <row r="4" spans="1:9" x14ac:dyDescent="0.3">
      <c r="A4" t="s">
        <v>2</v>
      </c>
      <c r="B4">
        <v>4.2</v>
      </c>
    </row>
    <row r="5" spans="1:9" x14ac:dyDescent="0.3">
      <c r="A5" t="s">
        <v>1</v>
      </c>
      <c r="B5">
        <v>3.5</v>
      </c>
    </row>
    <row r="6" spans="1:9" x14ac:dyDescent="0.3">
      <c r="A6" t="s">
        <v>3</v>
      </c>
      <c r="B6">
        <v>0</v>
      </c>
      <c r="C6" t="s">
        <v>13</v>
      </c>
      <c r="D6" t="s">
        <v>18</v>
      </c>
      <c r="E6">
        <v>0.11</v>
      </c>
    </row>
    <row r="7" spans="1:9" x14ac:dyDescent="0.3">
      <c r="A7" t="s">
        <v>4</v>
      </c>
      <c r="B7">
        <v>11</v>
      </c>
      <c r="C7" t="s">
        <v>20</v>
      </c>
    </row>
    <row r="8" spans="1:9" x14ac:dyDescent="0.3">
      <c r="A8" t="s">
        <v>24</v>
      </c>
      <c r="B8">
        <v>90</v>
      </c>
      <c r="C8">
        <f>B4*B8/100</f>
        <v>3.78</v>
      </c>
      <c r="D8" s="3">
        <f>B3*B8/100</f>
        <v>3.9149999999999996</v>
      </c>
    </row>
    <row r="9" spans="1:9" x14ac:dyDescent="0.3">
      <c r="A9" t="s">
        <v>0</v>
      </c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</row>
    <row r="10" spans="1:9" x14ac:dyDescent="0.3">
      <c r="A10" t="s">
        <v>8</v>
      </c>
      <c r="B10" s="1">
        <f>(B9*$B$3-$B$6)/$B$7</f>
        <v>0.39545454545454545</v>
      </c>
      <c r="C10" s="1">
        <f>(C9*$B$3-$B$6)/$B$7</f>
        <v>0.79090909090909089</v>
      </c>
      <c r="D10" s="1">
        <f t="shared" ref="D10:I10" si="0">(D9*$B$3-$B$6)/$B$7</f>
        <v>1.1863636363636363</v>
      </c>
      <c r="E10" s="1">
        <f t="shared" si="0"/>
        <v>1.5818181818181818</v>
      </c>
      <c r="F10" s="1">
        <f t="shared" si="0"/>
        <v>1.9772727272727273</v>
      </c>
      <c r="G10" s="1">
        <f t="shared" si="0"/>
        <v>2.3727272727272726</v>
      </c>
      <c r="H10" s="1">
        <f t="shared" si="0"/>
        <v>2.7681818181818176</v>
      </c>
      <c r="I10" s="1">
        <f t="shared" si="0"/>
        <v>3.1636363636363636</v>
      </c>
    </row>
    <row r="11" spans="1:9" x14ac:dyDescent="0.3">
      <c r="A11" t="s">
        <v>23</v>
      </c>
      <c r="B11" s="1">
        <f xml:space="preserve"> $B$8 * B10 / 100</f>
        <v>0.35590909090909095</v>
      </c>
      <c r="C11" s="1">
        <f xml:space="preserve"> $B$8 * C10 / 100</f>
        <v>0.71181818181818191</v>
      </c>
      <c r="D11" s="1">
        <f xml:space="preserve"> $B$8 * D10 / 100</f>
        <v>1.0677272727272726</v>
      </c>
      <c r="E11" s="1">
        <f xml:space="preserve"> $B$8 * E10 / 100</f>
        <v>1.4236363636363638</v>
      </c>
      <c r="F11" s="1">
        <f xml:space="preserve"> $B$8 * F10 / 100</f>
        <v>1.7795454545454548</v>
      </c>
      <c r="G11" s="1">
        <f xml:space="preserve"> $B$8 * G10 / 100</f>
        <v>2.1354545454545453</v>
      </c>
      <c r="H11" s="1">
        <f xml:space="preserve"> $B$8 * H10 / 100</f>
        <v>2.4913636363636358</v>
      </c>
      <c r="I11" s="1">
        <f xml:space="preserve"> $B$8 * I10 / 100</f>
        <v>2.8472727272727276</v>
      </c>
    </row>
    <row r="12" spans="1:9" x14ac:dyDescent="0.3">
      <c r="A12" t="s">
        <v>5</v>
      </c>
      <c r="B12" s="1">
        <f>(B9*$B$4-$B$6)/$B$7</f>
        <v>0.38181818181818183</v>
      </c>
      <c r="C12" s="1">
        <f>(C9*$B$4-$B$6)/$B$7</f>
        <v>0.76363636363636367</v>
      </c>
      <c r="D12" s="1">
        <f t="shared" ref="D12:I12" si="1">(D9*$B$4-$B$6)/$B$7</f>
        <v>1.1454545454545455</v>
      </c>
      <c r="E12" s="1">
        <f t="shared" si="1"/>
        <v>1.5272727272727273</v>
      </c>
      <c r="F12" s="1">
        <f t="shared" si="1"/>
        <v>1.9090909090909092</v>
      </c>
      <c r="G12" s="2">
        <f t="shared" si="1"/>
        <v>2.290909090909091</v>
      </c>
      <c r="H12" s="2">
        <f t="shared" si="1"/>
        <v>2.6727272727272728</v>
      </c>
      <c r="I12" s="1">
        <f t="shared" si="1"/>
        <v>3.0545454545454547</v>
      </c>
    </row>
    <row r="13" spans="1:9" x14ac:dyDescent="0.3">
      <c r="A13" t="s">
        <v>22</v>
      </c>
      <c r="B13" s="1">
        <f xml:space="preserve"> $B$8 * B12 / 100</f>
        <v>0.34363636363636368</v>
      </c>
      <c r="C13" s="1">
        <f xml:space="preserve"> $B$8 * C12 / 100</f>
        <v>0.68727272727272737</v>
      </c>
      <c r="D13" s="1">
        <f xml:space="preserve"> $B$8 * D12 / 100</f>
        <v>1.030909090909091</v>
      </c>
      <c r="E13" s="1">
        <f xml:space="preserve"> $B$8 * E12 / 100</f>
        <v>1.3745454545454547</v>
      </c>
      <c r="F13" s="1">
        <f xml:space="preserve"> $B$8 * F12 / 100</f>
        <v>1.718181818181818</v>
      </c>
      <c r="G13" s="1">
        <f xml:space="preserve"> $B$8 * G12 / 100</f>
        <v>2.061818181818182</v>
      </c>
      <c r="H13" s="1">
        <f xml:space="preserve"> $B$8 * H12 / 100</f>
        <v>2.4054545454545457</v>
      </c>
      <c r="I13" s="1">
        <f xml:space="preserve"> $B$8 * I12 / 100</f>
        <v>2.7490909090909095</v>
      </c>
    </row>
    <row r="14" spans="1:9" x14ac:dyDescent="0.3">
      <c r="A14" t="s">
        <v>6</v>
      </c>
      <c r="B14" s="1">
        <f>(B9*$B$5-$B$6)/$B$7</f>
        <v>0.31818181818181818</v>
      </c>
      <c r="C14" s="1">
        <f>(C9*$B$5-$B$6)/$B$7</f>
        <v>0.63636363636363635</v>
      </c>
      <c r="D14" s="1">
        <f>(D9*$B$5-$B$6)/$B$7</f>
        <v>0.95454545454545459</v>
      </c>
      <c r="E14" s="1">
        <f>(E9*$B$5-$B$6)/$B$7</f>
        <v>1.2727272727272727</v>
      </c>
      <c r="F14" s="1">
        <f>(F9*$B$5-$B$6)/$B$7</f>
        <v>1.5909090909090908</v>
      </c>
      <c r="G14" s="1">
        <f>(G9*$B$5-$B$6)/$B$7</f>
        <v>1.9090909090909092</v>
      </c>
      <c r="H14" s="2">
        <f>(H9*$B$5-$B$6)/$B$7</f>
        <v>2.2272727272727271</v>
      </c>
      <c r="I14" s="2">
        <f>(I9*$B$5-$B$6)/$B$7</f>
        <v>2.5454545454545454</v>
      </c>
    </row>
    <row r="15" spans="1:9" x14ac:dyDescent="0.3">
      <c r="A15" t="s">
        <v>10</v>
      </c>
      <c r="B15">
        <f>(B12*$B$7+$B$6)/B$9</f>
        <v>4.2</v>
      </c>
      <c r="C15">
        <f>(C12*$B$7+$B$6)/C$9</f>
        <v>4.2</v>
      </c>
      <c r="D15">
        <f>(D12*$B$7+$B$6)/D$9</f>
        <v>4.2</v>
      </c>
      <c r="E15">
        <f>(E12*$B$7+$B$6)/E$9</f>
        <v>4.2</v>
      </c>
      <c r="F15">
        <f>(F12*$B$7+$B$6)/F$9</f>
        <v>4.2</v>
      </c>
      <c r="G15">
        <f>(G12*$B$7+$B$6)/G$9</f>
        <v>4.2</v>
      </c>
      <c r="H15">
        <f>(H12*$B$7+$B$6)/H$9</f>
        <v>4.2</v>
      </c>
      <c r="I15">
        <f>(I12*$B$7+$B$6)/I$9</f>
        <v>4.2</v>
      </c>
    </row>
    <row r="16" spans="1:9" x14ac:dyDescent="0.3">
      <c r="A16" t="s">
        <v>11</v>
      </c>
      <c r="B16">
        <f>(B14*$B$7+$B$6)/B$9</f>
        <v>3.5</v>
      </c>
      <c r="C16">
        <f>(C14*$B$7+$B$6)/C$9</f>
        <v>3.5</v>
      </c>
      <c r="D16">
        <f t="shared" ref="D16:I16" si="2">(D14*$B$7+$B$6)/D$9</f>
        <v>3.5</v>
      </c>
      <c r="E16">
        <f t="shared" si="2"/>
        <v>3.5</v>
      </c>
      <c r="F16">
        <f t="shared" si="2"/>
        <v>3.5</v>
      </c>
      <c r="G16">
        <f t="shared" si="2"/>
        <v>3.5</v>
      </c>
      <c r="H16">
        <f t="shared" si="2"/>
        <v>3.4999999999999996</v>
      </c>
      <c r="I16">
        <f t="shared" si="2"/>
        <v>3.5</v>
      </c>
    </row>
    <row r="18" spans="1:3" x14ac:dyDescent="0.3">
      <c r="A18" t="s">
        <v>9</v>
      </c>
    </row>
    <row r="20" spans="1:3" x14ac:dyDescent="0.3">
      <c r="A20" t="s">
        <v>12</v>
      </c>
    </row>
    <row r="22" spans="1:3" x14ac:dyDescent="0.3">
      <c r="A22" t="s">
        <v>15</v>
      </c>
      <c r="B22" t="s">
        <v>17</v>
      </c>
    </row>
    <row r="23" spans="1:3" x14ac:dyDescent="0.3">
      <c r="B23" t="s">
        <v>16</v>
      </c>
    </row>
    <row r="26" spans="1:3" x14ac:dyDescent="0.3">
      <c r="A26" t="s">
        <v>19</v>
      </c>
      <c r="B26" t="s">
        <v>21</v>
      </c>
    </row>
    <row r="27" spans="1:3" x14ac:dyDescent="0.3">
      <c r="A27">
        <v>4.2</v>
      </c>
      <c r="B27">
        <v>0.114</v>
      </c>
    </row>
    <row r="28" spans="1:3" x14ac:dyDescent="0.3">
      <c r="A28">
        <v>8.4</v>
      </c>
      <c r="B28">
        <v>0.13300000000000001</v>
      </c>
      <c r="C28">
        <f>B28-B27</f>
        <v>1.9000000000000003E-2</v>
      </c>
    </row>
    <row r="29" spans="1:3" x14ac:dyDescent="0.3">
      <c r="A29">
        <v>12.6</v>
      </c>
      <c r="B29">
        <v>0.14399999999999999</v>
      </c>
      <c r="C29">
        <f>B29-B28</f>
        <v>1.0999999999999982E-2</v>
      </c>
    </row>
    <row r="30" spans="1:3" x14ac:dyDescent="0.3">
      <c r="A30">
        <v>16.8</v>
      </c>
      <c r="B30">
        <v>0.151</v>
      </c>
      <c r="C30">
        <f>B30-B29</f>
        <v>7.0000000000000062E-3</v>
      </c>
    </row>
    <row r="31" spans="1:3" x14ac:dyDescent="0.3">
      <c r="A31">
        <v>21</v>
      </c>
      <c r="B31">
        <v>0.157</v>
      </c>
      <c r="C31">
        <f>B31-B30</f>
        <v>6.0000000000000053E-3</v>
      </c>
    </row>
    <row r="32" spans="1:3" x14ac:dyDescent="0.3">
      <c r="A32">
        <v>23.7</v>
      </c>
      <c r="B32">
        <v>0.16</v>
      </c>
    </row>
  </sheetData>
  <pageMargins left="0.7" right="0.7" top="0.75" bottom="0.75" header="0.3" footer="0.3"/>
  <ignoredErrors>
    <ignoredError sqref="B12 C12:I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Jaap van de Loosdrecht</dc:creator>
  <cp:lastModifiedBy>Jaap van de Loosdrecht</cp:lastModifiedBy>
  <dcterms:created xsi:type="dcterms:W3CDTF">2025-10-12T17:13:55Z</dcterms:created>
  <dcterms:modified xsi:type="dcterms:W3CDTF">2025-10-26T17:26:51Z</dcterms:modified>
</cp:coreProperties>
</file>